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010b21cb68de5/Desktop/apr2026_roadmap_tasks/spreadsheet_drills_202604/q003_if_and_summary/learning/"/>
    </mc:Choice>
  </mc:AlternateContent>
  <xr:revisionPtr revIDLastSave="27" documentId="11_5B338E288A9A790225CD77E79AFB54A8FDB4FE8F" xr6:coauthVersionLast="47" xr6:coauthVersionMax="47" xr10:uidLastSave="{198F07E7-D01D-43BA-BB06-FDCF8533C227}"/>
  <bookViews>
    <workbookView xWindow="1920" yWindow="1920" windowWidth="17280" windowHeight="8880" activeTab="1" xr2:uid="{00000000-000D-0000-FFFF-FFFF00000000}"/>
  </bookViews>
  <sheets>
    <sheet name="Raw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B14" i="2"/>
  <c r="B13" i="2"/>
  <c r="B12" i="2"/>
  <c r="C11" i="2"/>
  <c r="B11" i="2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<sst xmlns="http://schemas.openxmlformats.org/spreadsheetml/2006/main" count="50" uniqueCount="33">
  <si>
    <t>order_id</t>
  </si>
  <si>
    <t>date</t>
  </si>
  <si>
    <t>region</t>
  </si>
  <si>
    <t>product</t>
  </si>
  <si>
    <t>quantity</t>
  </si>
  <si>
    <t>unit_price</t>
  </si>
  <si>
    <t>sales</t>
  </si>
  <si>
    <t>note</t>
  </si>
  <si>
    <t>2026-04-01</t>
  </si>
  <si>
    <t>East</t>
  </si>
  <si>
    <t>Apple</t>
  </si>
  <si>
    <t>West</t>
  </si>
  <si>
    <t>Banana</t>
  </si>
  <si>
    <t>sale</t>
  </si>
  <si>
    <t>2026-04-02</t>
  </si>
  <si>
    <t>Orange</t>
  </si>
  <si>
    <t>North</t>
  </si>
  <si>
    <t>2026-04-03</t>
  </si>
  <si>
    <t>South</t>
  </si>
  <si>
    <t>Grape</t>
  </si>
  <si>
    <t>gift</t>
  </si>
  <si>
    <t>2026-04-04</t>
  </si>
  <si>
    <t>missing quantity</t>
  </si>
  <si>
    <t>q003 IF 判定列 + 見やすい表</t>
  </si>
  <si>
    <t>1. RawData に sales_check 列を追加する</t>
  </si>
  <si>
    <t>2. IF を使って sales &gt;= 400 なら High, それ以外は Normal にする</t>
  </si>
  <si>
    <t>3. Summary に region別件数を見やすく整理する</t>
  </si>
  <si>
    <t>sales_check</t>
    <phoneticPr fontId="3"/>
  </si>
  <si>
    <t>High件数</t>
    <rPh sb="4" eb="6">
      <t>ケンスウ</t>
    </rPh>
    <phoneticPr fontId="3"/>
  </si>
  <si>
    <t>件数</t>
    <phoneticPr fontId="3"/>
  </si>
  <si>
    <t>見方</t>
    <rPh sb="0" eb="2">
      <t>ミカタ</t>
    </rPh>
    <phoneticPr fontId="3"/>
  </si>
  <si>
    <t>High = sales が 400 以上</t>
    <rPh sb="19" eb="21">
      <t>イジョウ</t>
    </rPh>
    <phoneticPr fontId="3"/>
  </si>
  <si>
    <t>Normal = 400 未満</t>
    <rPh sb="13" eb="15">
      <t>ミマン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</si>
</sst>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opLeftCell="D1" workbookViewId="0">
      <pane ySplit="1" topLeftCell="A2" activePane="bottomLeft" state="frozen"/>
      <selection pane="bottomLeft" activeCell="I21" sqref="I21"/>
    </sheetView>
  </sheetViews>
  <sheetFormatPr defaultRowHeight="13.2" x14ac:dyDescent="0.2"/>
  <cols>
    <col min="1" max="1" width="10" customWidth="1"/>
    <col min="2" max="2" width="12" customWidth="1"/>
    <col min="3" max="3" width="10" customWidth="1"/>
    <col min="4" max="4" width="12" customWidth="1"/>
    <col min="5" max="5" width="10" customWidth="1"/>
    <col min="6" max="7" width="11" customWidth="1"/>
    <col min="8" max="8" width="18" customWidth="1"/>
    <col min="9" max="9" width="12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27</v>
      </c>
    </row>
    <row r="2" spans="1:9" x14ac:dyDescent="0.2">
      <c r="A2">
        <v>1</v>
      </c>
      <c r="B2" t="s">
        <v>8</v>
      </c>
      <c r="C2" t="s">
        <v>9</v>
      </c>
      <c r="D2" t="s">
        <v>10</v>
      </c>
      <c r="E2">
        <v>3</v>
      </c>
      <c r="F2">
        <v>120</v>
      </c>
      <c r="G2">
        <v>360</v>
      </c>
      <c r="I2" t="str">
        <f>IF(G2&gt;=400,"High","Normal")</f>
        <v>Normal</v>
      </c>
    </row>
    <row r="3" spans="1:9" x14ac:dyDescent="0.2">
      <c r="A3">
        <v>2</v>
      </c>
      <c r="B3" t="s">
        <v>8</v>
      </c>
      <c r="C3" t="s">
        <v>11</v>
      </c>
      <c r="D3" t="s">
        <v>12</v>
      </c>
      <c r="E3">
        <v>5</v>
      </c>
      <c r="F3">
        <v>80</v>
      </c>
      <c r="G3">
        <v>400</v>
      </c>
      <c r="H3" t="s">
        <v>13</v>
      </c>
      <c r="I3" t="str">
        <f t="shared" ref="I3:I9" si="0">IF(G3&gt;=400,"High","Normal")</f>
        <v>High</v>
      </c>
    </row>
    <row r="4" spans="1:9" x14ac:dyDescent="0.2">
      <c r="A4">
        <v>3</v>
      </c>
      <c r="B4" t="s">
        <v>14</v>
      </c>
      <c r="C4" t="s">
        <v>9</v>
      </c>
      <c r="D4" t="s">
        <v>15</v>
      </c>
      <c r="E4">
        <v>4</v>
      </c>
      <c r="F4">
        <v>100</v>
      </c>
      <c r="G4">
        <v>400</v>
      </c>
      <c r="I4" t="str">
        <f t="shared" si="0"/>
        <v>High</v>
      </c>
    </row>
    <row r="5" spans="1:9" x14ac:dyDescent="0.2">
      <c r="A5">
        <v>4</v>
      </c>
      <c r="B5" t="s">
        <v>14</v>
      </c>
      <c r="C5" t="s">
        <v>16</v>
      </c>
      <c r="D5" t="s">
        <v>10</v>
      </c>
      <c r="E5">
        <v>2</v>
      </c>
      <c r="F5">
        <v>120</v>
      </c>
      <c r="G5">
        <v>240</v>
      </c>
      <c r="I5" t="str">
        <f t="shared" si="0"/>
        <v>Normal</v>
      </c>
    </row>
    <row r="6" spans="1:9" x14ac:dyDescent="0.2">
      <c r="A6">
        <v>5</v>
      </c>
      <c r="B6" t="s">
        <v>17</v>
      </c>
      <c r="C6" t="s">
        <v>18</v>
      </c>
      <c r="D6" t="s">
        <v>19</v>
      </c>
      <c r="E6">
        <v>1</v>
      </c>
      <c r="F6">
        <v>300</v>
      </c>
      <c r="G6">
        <v>300</v>
      </c>
      <c r="H6" t="s">
        <v>20</v>
      </c>
      <c r="I6" t="str">
        <f t="shared" si="0"/>
        <v>Normal</v>
      </c>
    </row>
    <row r="7" spans="1:9" x14ac:dyDescent="0.2">
      <c r="A7">
        <v>6</v>
      </c>
      <c r="B7" t="s">
        <v>17</v>
      </c>
      <c r="C7" t="s">
        <v>9</v>
      </c>
      <c r="D7" t="s">
        <v>12</v>
      </c>
      <c r="E7">
        <v>6</v>
      </c>
      <c r="F7">
        <v>80</v>
      </c>
      <c r="G7">
        <v>480</v>
      </c>
      <c r="I7" t="str">
        <f t="shared" si="0"/>
        <v>High</v>
      </c>
    </row>
    <row r="8" spans="1:9" x14ac:dyDescent="0.2">
      <c r="A8">
        <v>7</v>
      </c>
      <c r="B8" t="s">
        <v>21</v>
      </c>
      <c r="C8" t="s">
        <v>11</v>
      </c>
      <c r="D8" t="s">
        <v>15</v>
      </c>
      <c r="E8">
        <v>2</v>
      </c>
      <c r="F8">
        <v>100</v>
      </c>
      <c r="G8">
        <v>200</v>
      </c>
      <c r="I8" t="str">
        <f t="shared" si="0"/>
        <v>Normal</v>
      </c>
    </row>
    <row r="9" spans="1:9" x14ac:dyDescent="0.2">
      <c r="A9">
        <v>8</v>
      </c>
      <c r="B9" t="s">
        <v>21</v>
      </c>
      <c r="C9" t="s">
        <v>18</v>
      </c>
      <c r="D9" t="s">
        <v>10</v>
      </c>
      <c r="F9">
        <v>120</v>
      </c>
      <c r="H9" t="s">
        <v>22</v>
      </c>
      <c r="I9" t="str">
        <f t="shared" si="0"/>
        <v>Normal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topLeftCell="A4" workbookViewId="0">
      <selection activeCell="E12" sqref="E12"/>
    </sheetView>
  </sheetViews>
  <sheetFormatPr defaultRowHeight="13.2" x14ac:dyDescent="0.2"/>
  <cols>
    <col min="1" max="1" width="14" customWidth="1"/>
    <col min="2" max="2" width="12" customWidth="1"/>
    <col min="3" max="3" width="9.88671875" bestFit="1" customWidth="1"/>
    <col min="5" max="5" width="23.44140625" bestFit="1" customWidth="1"/>
  </cols>
  <sheetData>
    <row r="1" spans="1:5" ht="16.2" x14ac:dyDescent="0.2">
      <c r="A1" s="2" t="s">
        <v>23</v>
      </c>
    </row>
    <row r="3" spans="1:5" x14ac:dyDescent="0.2">
      <c r="A3" t="s">
        <v>24</v>
      </c>
    </row>
    <row r="4" spans="1:5" x14ac:dyDescent="0.2">
      <c r="A4" t="s">
        <v>25</v>
      </c>
    </row>
    <row r="5" spans="1:5" x14ac:dyDescent="0.2">
      <c r="A5" t="s">
        <v>26</v>
      </c>
    </row>
    <row r="10" spans="1:5" x14ac:dyDescent="0.2">
      <c r="A10" s="3" t="s">
        <v>2</v>
      </c>
      <c r="B10" s="3" t="s">
        <v>29</v>
      </c>
      <c r="C10" s="3" t="s">
        <v>28</v>
      </c>
      <c r="E10" s="5" t="s">
        <v>30</v>
      </c>
    </row>
    <row r="11" spans="1:5" x14ac:dyDescent="0.2">
      <c r="A11" t="s">
        <v>9</v>
      </c>
      <c r="B11">
        <f>COUNTIF(RawData!C2:C9,A11)</f>
        <v>3</v>
      </c>
      <c r="C11">
        <f>COUNTIFS(RawData!C2:C9,A11,RawData!I2:I9,"High")</f>
        <v>2</v>
      </c>
      <c r="E11" t="s">
        <v>31</v>
      </c>
    </row>
    <row r="12" spans="1:5" x14ac:dyDescent="0.2">
      <c r="A12" t="s">
        <v>11</v>
      </c>
      <c r="B12">
        <f>COUNTIF(RawData!C2:C9,A12)</f>
        <v>2</v>
      </c>
      <c r="C12">
        <f>COUNTIFS(RawData!C2:C9,A12,RawData!I2:I9,"High")</f>
        <v>1</v>
      </c>
      <c r="E12" t="s">
        <v>32</v>
      </c>
    </row>
    <row r="13" spans="1:5" x14ac:dyDescent="0.2">
      <c r="A13" t="s">
        <v>16</v>
      </c>
      <c r="B13">
        <f>COUNTIF(RawData!C2:C9,A13)</f>
        <v>1</v>
      </c>
      <c r="C13">
        <f>COUNTIFS(RawData!C2:C9,A13,RawData!I2:I9,"High")</f>
        <v>0</v>
      </c>
    </row>
    <row r="14" spans="1:5" x14ac:dyDescent="0.2">
      <c r="A14" t="s">
        <v>18</v>
      </c>
      <c r="B14">
        <f>COUNTIF(RawData!C2:C9,A14)</f>
        <v>2</v>
      </c>
      <c r="C14">
        <f>COUNTIFS(RawData!C2:C9,A14,RawData!I2:I9,"High")</f>
        <v>0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RawData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崚 大島</cp:lastModifiedBy>
  <dcterms:created xsi:type="dcterms:W3CDTF">2026-04-04T23:40:25Z</dcterms:created>
  <dcterms:modified xsi:type="dcterms:W3CDTF">2026-04-08T05:07:44Z</dcterms:modified>
</cp:coreProperties>
</file>