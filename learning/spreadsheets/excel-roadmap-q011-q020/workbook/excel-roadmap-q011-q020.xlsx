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06010b21cb68de5/Desktop/就活ロードマップ/apr2026_roadmap_tasks/excel/excel-roadmap-q011-q020/workbook/"/>
    </mc:Choice>
  </mc:AlternateContent>
  <xr:revisionPtr revIDLastSave="42" documentId="8_{5F7EA717-58EB-4C51-A999-0715F7036B21}" xr6:coauthVersionLast="47" xr6:coauthVersionMax="47" xr10:uidLastSave="{28C4FE19-EDE4-4931-AE3C-93DD0F5F6F6A}"/>
  <bookViews>
    <workbookView xWindow="-108" yWindow="-108" windowWidth="23256" windowHeight="12456" firstSheet="3" activeTab="5" xr2:uid="{00000000-000D-0000-FFFF-FFFF00000000}"/>
  </bookViews>
  <sheets>
    <sheet name="Sheet3" sheetId="10" r:id="rId1"/>
    <sheet name="orders_data" sheetId="1" r:id="rId2"/>
    <sheet name="product_master" sheetId="2" r:id="rId3"/>
    <sheet name="region_master" sheetId="3" r:id="rId4"/>
    <sheet name="controls" sheetId="4" r:id="rId5"/>
    <sheet name="pivot_task" sheetId="5" r:id="rId6"/>
    <sheet name="practice" sheetId="6" r:id="rId7"/>
    <sheet name="README" sheetId="7" r:id="rId8"/>
  </sheets>
  <definedNames>
    <definedName name="_xlnm._FilterDatabase" localSheetId="1" hidden="1">orders_data!$A$1:$K$11</definedName>
  </definedNames>
  <calcPr calcId="191029"/>
  <pivotCaches>
    <pivotCache cacheId="1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D10" i="6" s="1"/>
  <c r="M3" i="1"/>
  <c r="D9" i="6" s="1"/>
  <c r="F9" i="6" s="1"/>
  <c r="M2" i="1"/>
  <c r="D8" i="6" s="1"/>
  <c r="D3" i="6"/>
  <c r="I11" i="1"/>
  <c r="G11" i="1"/>
  <c r="H11" i="1" s="1"/>
  <c r="J11" i="1" s="1"/>
  <c r="K11" i="1" s="1"/>
  <c r="F11" i="1"/>
  <c r="I10" i="1"/>
  <c r="G10" i="1"/>
  <c r="H10" i="1" s="1"/>
  <c r="J10" i="1" s="1"/>
  <c r="K10" i="1" s="1"/>
  <c r="F10" i="1"/>
  <c r="I9" i="1"/>
  <c r="G9" i="1"/>
  <c r="H9" i="1" s="1"/>
  <c r="J9" i="1" s="1"/>
  <c r="K9" i="1" s="1"/>
  <c r="F9" i="1"/>
  <c r="I8" i="1"/>
  <c r="G8" i="1"/>
  <c r="H8" i="1" s="1"/>
  <c r="J8" i="1" s="1"/>
  <c r="K8" i="1" s="1"/>
  <c r="F8" i="1"/>
  <c r="I7" i="1"/>
  <c r="G7" i="1"/>
  <c r="H7" i="1" s="1"/>
  <c r="J7" i="1" s="1"/>
  <c r="K7" i="1" s="1"/>
  <c r="F7" i="1"/>
  <c r="I6" i="1"/>
  <c r="G6" i="1"/>
  <c r="H6" i="1" s="1"/>
  <c r="J6" i="1" s="1"/>
  <c r="K6" i="1" s="1"/>
  <c r="F6" i="1"/>
  <c r="I5" i="1"/>
  <c r="G5" i="1"/>
  <c r="H5" i="1" s="1"/>
  <c r="J5" i="1" s="1"/>
  <c r="K5" i="1" s="1"/>
  <c r="F5" i="1"/>
  <c r="I4" i="1"/>
  <c r="G4" i="1"/>
  <c r="H4" i="1" s="1"/>
  <c r="J4" i="1" s="1"/>
  <c r="K4" i="1" s="1"/>
  <c r="F4" i="1"/>
  <c r="I3" i="1"/>
  <c r="G3" i="1"/>
  <c r="F3" i="1"/>
  <c r="I2" i="1"/>
  <c r="D5" i="6" s="1"/>
  <c r="F5" i="6" s="1"/>
  <c r="G2" i="1"/>
  <c r="F2" i="1"/>
  <c r="D11" i="6"/>
  <c r="E9" i="6"/>
  <c r="E5" i="6"/>
  <c r="E3" i="6"/>
  <c r="E2" i="6"/>
  <c r="D2" i="6"/>
  <c r="F2" i="6" s="1"/>
  <c r="H3" i="1" l="1"/>
  <c r="J3" i="1" s="1"/>
  <c r="K3" i="1" s="1"/>
  <c r="F3" i="6"/>
  <c r="H2" i="1"/>
  <c r="E4" i="6"/>
  <c r="J2" i="1" l="1"/>
  <c r="D4" i="6"/>
  <c r="F4" i="6" s="1"/>
  <c r="E6" i="6"/>
  <c r="K2" i="1" l="1"/>
  <c r="D6" i="6"/>
  <c r="F6" i="6" s="1"/>
  <c r="E7" i="6"/>
  <c r="E11" i="6"/>
  <c r="F11" i="6" s="1"/>
  <c r="E8" i="6"/>
  <c r="F8" i="6" s="1"/>
  <c r="D7" i="6" l="1"/>
  <c r="F7" i="6" s="1"/>
  <c r="E10" i="6"/>
  <c r="F10" i="6" s="1"/>
</calcChain>
</file>

<file path=xl/sharedStrings.xml><?xml version="1.0" encoding="utf-8"?>
<sst xmlns="http://schemas.openxmlformats.org/spreadsheetml/2006/main" count="143" uniqueCount="105">
  <si>
    <t>ID</t>
  </si>
  <si>
    <t>やること</t>
  </si>
  <si>
    <t>入力場所</t>
  </si>
  <si>
    <t>あなたの結果</t>
  </si>
  <si>
    <t>期待値</t>
  </si>
  <si>
    <t>判定</t>
  </si>
  <si>
    <t>q011</t>
  </si>
  <si>
    <t>product_masterを参照してカテゴリを埋める（VLOOKUP）</t>
  </si>
  <si>
    <t>orders_data!F2:F11</t>
  </si>
  <si>
    <t>q012</t>
  </si>
  <si>
    <t>product_masterを参照して単価を埋める（VLOOKUP）</t>
  </si>
  <si>
    <t>orders_data!G2:G11</t>
  </si>
  <si>
    <t>q013</t>
  </si>
  <si>
    <t>売上 = 数量×単価 を計算</t>
  </si>
  <si>
    <t>orders_data!H2:H11</t>
  </si>
  <si>
    <t>q014</t>
  </si>
  <si>
    <t>region_masterを参照して地域割引率を埋める（VLOOKUP）</t>
  </si>
  <si>
    <t>orders_data!I2:I11</t>
  </si>
  <si>
    <t>q015</t>
  </si>
  <si>
    <t>割引後売上 = 売上×(1-地域割引率)</t>
  </si>
  <si>
    <t>orders_data!J2:J11</t>
  </si>
  <si>
    <t>q016</t>
  </si>
  <si>
    <t>税込売上 = 割引後売上×(1+controls!$B$2)</t>
  </si>
  <si>
    <t>orders_data!K2:K11</t>
  </si>
  <si>
    <t>q017</t>
  </si>
  <si>
    <t>東日本かつPCの割引後売上合計（SUMIFS）</t>
  </si>
  <si>
    <t>orders_data!M2</t>
  </si>
  <si>
    <t>q018</t>
  </si>
  <si>
    <t>西日本かつ周辺機器の件数（COUNTIFS）</t>
  </si>
  <si>
    <t>orders_data!M3</t>
  </si>
  <si>
    <t>q019</t>
  </si>
  <si>
    <t>PCの税込売上平均（AVERAGEIF）</t>
  </si>
  <si>
    <t>orders_data!M4</t>
  </si>
  <si>
    <t>q020</t>
  </si>
  <si>
    <t>ピボットを作成し、pivot_taskのB9:B12に結果転記</t>
  </si>
  <si>
    <t>pivot_task!B9:B12</t>
  </si>
  <si>
    <t>注文日</t>
  </si>
  <si>
    <t>商品名</t>
  </si>
  <si>
    <t>地域</t>
  </si>
  <si>
    <t>数量</t>
  </si>
  <si>
    <t>カテゴリ</t>
  </si>
  <si>
    <t>単価</t>
  </si>
  <si>
    <t>売上</t>
  </si>
  <si>
    <t>地域割引率</t>
  </si>
  <si>
    <t>割引後売上</t>
  </si>
  <si>
    <t>税込売上</t>
  </si>
  <si>
    <t>ORD-001</t>
  </si>
  <si>
    <t>2026/04/01</t>
  </si>
  <si>
    <t>ノートPC</t>
  </si>
  <si>
    <t>東日本</t>
  </si>
  <si>
    <t>q017 東日本かつPCの割引後売上合計</t>
  </si>
  <si>
    <t>ORD-002</t>
  </si>
  <si>
    <t>マウス</t>
  </si>
  <si>
    <t>西日本</t>
  </si>
  <si>
    <t>q018 西日本かつ周辺機器の件数</t>
  </si>
  <si>
    <t>ORD-003</t>
  </si>
  <si>
    <t>2026/04/02</t>
  </si>
  <si>
    <t>キーボード</t>
  </si>
  <si>
    <t>q019 PCの税込売上平均</t>
  </si>
  <si>
    <t>ORD-004</t>
  </si>
  <si>
    <t>モニター</t>
  </si>
  <si>
    <t>中部</t>
  </si>
  <si>
    <t>ORD-005</t>
  </si>
  <si>
    <t>2026/04/03</t>
  </si>
  <si>
    <t>ORD-006</t>
  </si>
  <si>
    <t>ORD-007</t>
  </si>
  <si>
    <t>2026/04/04</t>
  </si>
  <si>
    <t>ORD-008</t>
  </si>
  <si>
    <t>ORD-009</t>
  </si>
  <si>
    <t>2026/04/05</t>
  </si>
  <si>
    <t>ORD-010</t>
  </si>
  <si>
    <t>▼ 学習用アウトプット欄（ここに数式や結果を入れてください）</t>
  </si>
  <si>
    <t>PC</t>
  </si>
  <si>
    <t>周辺機器</t>
  </si>
  <si>
    <t>ディスプレイ</t>
  </si>
  <si>
    <t>割引率</t>
  </si>
  <si>
    <t>コントロール</t>
  </si>
  <si>
    <t>消費税率</t>
  </si>
  <si>
    <t>※ q016 では controls!$B$2 を絶対参照で使います。</t>
  </si>
  <si>
    <t>q020 ピボット導入</t>
  </si>
  <si>
    <t>orders_data を元にピボットテーブルを作成してください。</t>
  </si>
  <si>
    <t>行：地域</t>
  </si>
  <si>
    <t>列：カテゴリ</t>
  </si>
  <si>
    <t>値：割引後売上（合計）</t>
  </si>
  <si>
    <t>作成したピボット表を見て、下の青セルに結果を転記してください。</t>
  </si>
  <si>
    <t>転記欄</t>
  </si>
  <si>
    <t>東日本 × PC</t>
  </si>
  <si>
    <t>西日本 × 周辺機器</t>
  </si>
  <si>
    <t>中部 × PC</t>
  </si>
  <si>
    <t>総計</t>
  </si>
  <si>
    <t>このExcelは、q011〜q020を「実際に手を動かして」学べる続編ワークブックです。</t>
  </si>
  <si>
    <t>【使い方】</t>
  </si>
  <si>
    <t>1) orders_data シートの青文字セルに数式を入力します。</t>
  </si>
  <si>
    <t>2) q020 は、orders_data を元に自分でピボットテーブルを作ります。</t>
  </si>
  <si>
    <t>3) ピボットの結果を pivot_task シートに転記します。</t>
  </si>
  <si>
    <t>4) practice シートで OK / NG を確認します。</t>
  </si>
  <si>
    <t>【この回で身につけること】</t>
  </si>
  <si>
    <t>- VLOOKUP による参照</t>
  </si>
  <si>
    <t>- 絶対参照（controls!$B$2）</t>
  </si>
  <si>
    <t>- SUMIFS / COUNTIFS / AVERAGEIF</t>
  </si>
  <si>
    <t>- ピボットテーブルの初歩</t>
  </si>
  <si>
    <t>行ラベル</t>
  </si>
  <si>
    <t>列ラベル</t>
  </si>
  <si>
    <t>注文ID</t>
    <phoneticPr fontId="6"/>
  </si>
  <si>
    <t>合計 / 割引後売上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</si>
</sst>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.0"/>
  </numFmts>
  <fonts count="7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800080"/>
      <name val="ＭＳ Ｐゴシック"/>
      <family val="3"/>
      <charset val="128"/>
    </font>
    <font>
      <i/>
      <sz val="11"/>
      <color rgb="FF666666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1F1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3" fontId="2" fillId="0" borderId="0" xfId="0" applyNumberFormat="1" applyFont="1"/>
    <xf numFmtId="176" fontId="2" fillId="0" borderId="0" xfId="0" applyNumberFormat="1" applyFont="1"/>
    <xf numFmtId="177" fontId="2" fillId="0" borderId="0" xfId="0" applyNumberFormat="1" applyFont="1"/>
    <xf numFmtId="0" fontId="3" fillId="3" borderId="0" xfId="0" applyFont="1" applyFill="1"/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1" fillId="2" borderId="0" xfId="0" applyFont="1" applyFill="1"/>
    <xf numFmtId="176" fontId="4" fillId="0" borderId="0" xfId="0" applyNumberFormat="1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大島崚" refreshedDate="46127.381487384257" createdVersion="8" refreshedVersion="8" minRefreshableVersion="3" recordCount="10" xr:uid="{403C7458-6F88-4695-8C4D-0360C6D98563}">
  <cacheSource type="worksheet">
    <worksheetSource ref="A1:K11" sheet="orders_data"/>
  </cacheSource>
  <cacheFields count="11">
    <cacheField name="注文ID" numFmtId="0">
      <sharedItems/>
    </cacheField>
    <cacheField name="注文日" numFmtId="0">
      <sharedItems/>
    </cacheField>
    <cacheField name="商品名" numFmtId="0">
      <sharedItems/>
    </cacheField>
    <cacheField name="地域" numFmtId="0">
      <sharedItems count="3">
        <s v="東日本"/>
        <s v="西日本"/>
        <s v="中部"/>
      </sharedItems>
    </cacheField>
    <cacheField name="数量" numFmtId="0">
      <sharedItems containsSemiMixedTypes="0" containsString="0" containsNumber="1" containsInteger="1" minValue="1" maxValue="5"/>
    </cacheField>
    <cacheField name="カテゴリ" numFmtId="0">
      <sharedItems count="3">
        <s v="PC"/>
        <s v="周辺機器"/>
        <s v="ディスプレイ"/>
      </sharedItems>
    </cacheField>
    <cacheField name="単価" numFmtId="0">
      <sharedItems containsSemiMixedTypes="0" containsString="0" containsNumber="1" containsInteger="1" minValue="2000" maxValue="80000"/>
    </cacheField>
    <cacheField name="売上" numFmtId="3">
      <sharedItems containsSemiMixedTypes="0" containsString="0" containsNumber="1" containsInteger="1" minValue="6000" maxValue="160000"/>
    </cacheField>
    <cacheField name="地域割引率" numFmtId="176">
      <sharedItems containsSemiMixedTypes="0" containsString="0" containsNumber="1" minValue="0.03" maxValue="0.08"/>
    </cacheField>
    <cacheField name="割引後売上" numFmtId="177">
      <sharedItems containsSemiMixedTypes="0" containsString="0" containsNumber="1" containsInteger="1" minValue="5820" maxValue="152000"/>
    </cacheField>
    <cacheField name="税込売上" numFmtId="177">
      <sharedItems containsSemiMixedTypes="0" containsString="0" containsNumber="1" minValue="6402.0000000000009" maxValue="16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ORD-001"/>
    <s v="2026/04/01"/>
    <s v="ノートPC"/>
    <x v="0"/>
    <n v="2"/>
    <x v="0"/>
    <n v="80000"/>
    <n v="160000"/>
    <n v="0.05"/>
    <n v="152000"/>
    <n v="167200"/>
  </r>
  <r>
    <s v="ORD-002"/>
    <s v="2026/04/01"/>
    <s v="マウス"/>
    <x v="1"/>
    <n v="5"/>
    <x v="1"/>
    <n v="2000"/>
    <n v="10000"/>
    <n v="0.08"/>
    <n v="9200"/>
    <n v="10120"/>
  </r>
  <r>
    <s v="ORD-003"/>
    <s v="2026/04/02"/>
    <s v="キーボード"/>
    <x v="0"/>
    <n v="3"/>
    <x v="1"/>
    <n v="5000"/>
    <n v="15000"/>
    <n v="0.05"/>
    <n v="14250"/>
    <n v="15675.000000000002"/>
  </r>
  <r>
    <s v="ORD-004"/>
    <s v="2026/04/02"/>
    <s v="モニター"/>
    <x v="2"/>
    <n v="1"/>
    <x v="2"/>
    <n v="30000"/>
    <n v="30000"/>
    <n v="0.03"/>
    <n v="29100"/>
    <n v="32010.000000000004"/>
  </r>
  <r>
    <s v="ORD-005"/>
    <s v="2026/04/03"/>
    <s v="ノートPC"/>
    <x v="1"/>
    <n v="1"/>
    <x v="0"/>
    <n v="80000"/>
    <n v="80000"/>
    <n v="0.08"/>
    <n v="73600"/>
    <n v="80960"/>
  </r>
  <r>
    <s v="ORD-006"/>
    <s v="2026/04/03"/>
    <s v="マウス"/>
    <x v="0"/>
    <n v="4"/>
    <x v="1"/>
    <n v="2000"/>
    <n v="8000"/>
    <n v="0.05"/>
    <n v="7600"/>
    <n v="8360"/>
  </r>
  <r>
    <s v="ORD-007"/>
    <s v="2026/04/04"/>
    <s v="モニター"/>
    <x v="0"/>
    <n v="2"/>
    <x v="2"/>
    <n v="30000"/>
    <n v="60000"/>
    <n v="0.05"/>
    <n v="57000"/>
    <n v="62700.000000000007"/>
  </r>
  <r>
    <s v="ORD-008"/>
    <s v="2026/04/04"/>
    <s v="キーボード"/>
    <x v="1"/>
    <n v="2"/>
    <x v="1"/>
    <n v="5000"/>
    <n v="10000"/>
    <n v="0.08"/>
    <n v="9200"/>
    <n v="10120"/>
  </r>
  <r>
    <s v="ORD-009"/>
    <s v="2026/04/05"/>
    <s v="ノートPC"/>
    <x v="2"/>
    <n v="1"/>
    <x v="0"/>
    <n v="80000"/>
    <n v="80000"/>
    <n v="0.03"/>
    <n v="77600"/>
    <n v="85360"/>
  </r>
  <r>
    <s v="ORD-010"/>
    <s v="2026/04/05"/>
    <s v="マウス"/>
    <x v="2"/>
    <n v="3"/>
    <x v="1"/>
    <n v="2000"/>
    <n v="6000"/>
    <n v="0.03"/>
    <n v="5820"/>
    <n v="6402.0000000000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78CBC-CAF3-49F9-9087-66BFF641D7C0}" name="ピボットテーブル3" cacheId="17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8" firstHeaderRow="1" firstDataRow="2" firstDataCol="1"/>
  <pivotFields count="1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numFmtId="3" showAll="0"/>
    <pivotField numFmtId="176" showAll="0"/>
    <pivotField dataField="1" numFmtId="177" showAll="0"/>
    <pivotField numFmtId="177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合計 / 割引後売上" fld="9" baseField="3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D9C5-4D7A-4F93-BC6D-7AD582097627}">
  <dimension ref="A3:E8"/>
  <sheetViews>
    <sheetView workbookViewId="0">
      <selection activeCell="B6" sqref="B6"/>
    </sheetView>
  </sheetViews>
  <sheetFormatPr defaultRowHeight="13.2" x14ac:dyDescent="0.2"/>
  <cols>
    <col min="1" max="1" width="19.6640625" bestFit="1" customWidth="1"/>
    <col min="2" max="2" width="11.77734375" bestFit="1" customWidth="1"/>
    <col min="3" max="3" width="12.5546875" bestFit="1" customWidth="1"/>
    <col min="4" max="4" width="10" bestFit="1" customWidth="1"/>
    <col min="5" max="5" width="10.44140625" bestFit="1" customWidth="1"/>
  </cols>
  <sheetData>
    <row r="3" spans="1:5" x14ac:dyDescent="0.2">
      <c r="A3" s="12" t="s">
        <v>104</v>
      </c>
      <c r="B3" s="12" t="s">
        <v>102</v>
      </c>
    </row>
    <row r="4" spans="1:5" x14ac:dyDescent="0.2">
      <c r="A4" s="12" t="s">
        <v>101</v>
      </c>
      <c r="B4" t="s">
        <v>72</v>
      </c>
      <c r="C4" t="s">
        <v>74</v>
      </c>
      <c r="D4" t="s">
        <v>73</v>
      </c>
      <c r="E4" t="s">
        <v>89</v>
      </c>
    </row>
    <row r="5" spans="1:5" x14ac:dyDescent="0.2">
      <c r="A5" s="13" t="s">
        <v>53</v>
      </c>
      <c r="B5" s="14">
        <v>73600</v>
      </c>
      <c r="C5" s="14"/>
      <c r="D5" s="14">
        <v>18400</v>
      </c>
      <c r="E5" s="14">
        <v>92000</v>
      </c>
    </row>
    <row r="6" spans="1:5" x14ac:dyDescent="0.2">
      <c r="A6" s="13" t="s">
        <v>61</v>
      </c>
      <c r="B6" s="14">
        <v>77600</v>
      </c>
      <c r="C6" s="14">
        <v>29100</v>
      </c>
      <c r="D6" s="14">
        <v>5820</v>
      </c>
      <c r="E6" s="14">
        <v>112520</v>
      </c>
    </row>
    <row r="7" spans="1:5" x14ac:dyDescent="0.2">
      <c r="A7" s="13" t="s">
        <v>49</v>
      </c>
      <c r="B7" s="14">
        <v>152000</v>
      </c>
      <c r="C7" s="14">
        <v>57000</v>
      </c>
      <c r="D7" s="14">
        <v>21850</v>
      </c>
      <c r="E7" s="14">
        <v>230850</v>
      </c>
    </row>
    <row r="8" spans="1:5" x14ac:dyDescent="0.2">
      <c r="A8" s="13" t="s">
        <v>89</v>
      </c>
      <c r="B8" s="14">
        <v>303200</v>
      </c>
      <c r="C8" s="14">
        <v>86100</v>
      </c>
      <c r="D8" s="14">
        <v>46070</v>
      </c>
      <c r="E8" s="14">
        <v>435370</v>
      </c>
    </row>
  </sheetData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opLeftCell="J1" workbookViewId="0">
      <pane ySplit="1" topLeftCell="A2" activePane="bottomLeft" state="frozen"/>
      <selection pane="bottomLeft"/>
    </sheetView>
  </sheetViews>
  <sheetFormatPr defaultColWidth="26.44140625" defaultRowHeight="13.2" x14ac:dyDescent="0.2"/>
  <cols>
    <col min="1" max="1" width="60.44140625" bestFit="1" customWidth="1"/>
    <col min="2" max="3" width="12.33203125" bestFit="1" customWidth="1"/>
    <col min="4" max="5" width="10.21875" bestFit="1" customWidth="1"/>
    <col min="6" max="6" width="13.109375" bestFit="1" customWidth="1"/>
    <col min="7" max="8" width="10.21875" bestFit="1" customWidth="1"/>
    <col min="9" max="10" width="16.77734375" bestFit="1" customWidth="1"/>
    <col min="11" max="11" width="14.44140625" bestFit="1" customWidth="1"/>
    <col min="12" max="12" width="36.88671875" bestFit="1" customWidth="1"/>
  </cols>
  <sheetData>
    <row r="1" spans="1:13" x14ac:dyDescent="0.2">
      <c r="A1" s="1" t="s">
        <v>103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spans="1:13" x14ac:dyDescent="0.2">
      <c r="A2" t="s">
        <v>46</v>
      </c>
      <c r="B2" t="s">
        <v>47</v>
      </c>
      <c r="C2" t="s">
        <v>48</v>
      </c>
      <c r="D2" t="s">
        <v>49</v>
      </c>
      <c r="E2">
        <v>2</v>
      </c>
      <c r="F2" s="2" t="str">
        <f>VLOOKUP(C2,product_master!$A$2:$C$5,2,FALSE)</f>
        <v>PC</v>
      </c>
      <c r="G2">
        <f>VLOOKUP(C2,product_master!$A$2:$C$5,3,FALSE)</f>
        <v>80000</v>
      </c>
      <c r="H2" s="3">
        <f t="shared" ref="H2:H11" si="0">E2*G2</f>
        <v>160000</v>
      </c>
      <c r="I2" s="4">
        <f>VLOOKUP(D2,region_master!$A$2:$B$4,2,FALSE)</f>
        <v>0.05</v>
      </c>
      <c r="J2" s="5">
        <f t="shared" ref="J2:J11" si="1">H2*(1-I2)</f>
        <v>152000</v>
      </c>
      <c r="K2" s="5">
        <f>J2*(1+controls!$B$2)</f>
        <v>167200</v>
      </c>
      <c r="L2" t="s">
        <v>50</v>
      </c>
      <c r="M2" s="5">
        <f>SUMIFS(J2:J11,D2:D11,"東日本",F2:F11,"PC")</f>
        <v>152000</v>
      </c>
    </row>
    <row r="3" spans="1:13" x14ac:dyDescent="0.2">
      <c r="A3" t="s">
        <v>51</v>
      </c>
      <c r="B3" t="s">
        <v>47</v>
      </c>
      <c r="C3" t="s">
        <v>52</v>
      </c>
      <c r="D3" t="s">
        <v>53</v>
      </c>
      <c r="E3">
        <v>5</v>
      </c>
      <c r="F3" s="2" t="str">
        <f>VLOOKUP(C3,product_master!$A$2:$C$5,2,FALSE)</f>
        <v>周辺機器</v>
      </c>
      <c r="G3">
        <f>VLOOKUP(C3,product_master!$A$2:$C$5,3,FALSE)</f>
        <v>2000</v>
      </c>
      <c r="H3" s="3">
        <f t="shared" si="0"/>
        <v>10000</v>
      </c>
      <c r="I3" s="4">
        <f>VLOOKUP(D3,region_master!$A$2:$B$4,2,FALSE)</f>
        <v>0.08</v>
      </c>
      <c r="J3" s="5">
        <f t="shared" si="1"/>
        <v>9200</v>
      </c>
      <c r="K3" s="5">
        <f>J3*(1+controls!$B$2)</f>
        <v>10120</v>
      </c>
      <c r="L3" t="s">
        <v>54</v>
      </c>
      <c r="M3" s="2">
        <f>COUNTIFS(D2:D11,"西日本",F2:F11,"周辺機器")</f>
        <v>2</v>
      </c>
    </row>
    <row r="4" spans="1:13" x14ac:dyDescent="0.2">
      <c r="A4" t="s">
        <v>55</v>
      </c>
      <c r="B4" t="s">
        <v>56</v>
      </c>
      <c r="C4" t="s">
        <v>57</v>
      </c>
      <c r="D4" t="s">
        <v>49</v>
      </c>
      <c r="E4">
        <v>3</v>
      </c>
      <c r="F4" s="2" t="str">
        <f>VLOOKUP(C4,product_master!$A$2:$C$5,2,FALSE)</f>
        <v>周辺機器</v>
      </c>
      <c r="G4">
        <f>VLOOKUP(C4,product_master!$A$2:$C$5,3,FALSE)</f>
        <v>5000</v>
      </c>
      <c r="H4" s="3">
        <f t="shared" si="0"/>
        <v>15000</v>
      </c>
      <c r="I4" s="4">
        <f>VLOOKUP(D4,region_master!$A$2:$B$4,2,FALSE)</f>
        <v>0.05</v>
      </c>
      <c r="J4" s="5">
        <f t="shared" si="1"/>
        <v>14250</v>
      </c>
      <c r="K4" s="5">
        <f>J4*(1+controls!$B$2)</f>
        <v>15675.000000000002</v>
      </c>
      <c r="L4" t="s">
        <v>58</v>
      </c>
      <c r="M4" s="5">
        <f>AVERAGEIF(F2:F11,"PC",K2:K11)</f>
        <v>111173.33333333333</v>
      </c>
    </row>
    <row r="5" spans="1:13" x14ac:dyDescent="0.2">
      <c r="A5" t="s">
        <v>59</v>
      </c>
      <c r="B5" t="s">
        <v>56</v>
      </c>
      <c r="C5" t="s">
        <v>60</v>
      </c>
      <c r="D5" t="s">
        <v>61</v>
      </c>
      <c r="E5">
        <v>1</v>
      </c>
      <c r="F5" s="2" t="str">
        <f>VLOOKUP(C5,product_master!$A$2:$C$5,2,FALSE)</f>
        <v>ディスプレイ</v>
      </c>
      <c r="G5">
        <f>VLOOKUP(C5,product_master!$A$2:$C$5,3,FALSE)</f>
        <v>30000</v>
      </c>
      <c r="H5" s="3">
        <f t="shared" si="0"/>
        <v>30000</v>
      </c>
      <c r="I5" s="4">
        <f>VLOOKUP(D5,region_master!$A$2:$B$4,2,FALSE)</f>
        <v>0.03</v>
      </c>
      <c r="J5" s="5">
        <f t="shared" si="1"/>
        <v>29100</v>
      </c>
      <c r="K5" s="5">
        <f>J5*(1+controls!$B$2)</f>
        <v>32010.000000000004</v>
      </c>
    </row>
    <row r="6" spans="1:13" x14ac:dyDescent="0.2">
      <c r="A6" t="s">
        <v>62</v>
      </c>
      <c r="B6" t="s">
        <v>63</v>
      </c>
      <c r="C6" t="s">
        <v>48</v>
      </c>
      <c r="D6" t="s">
        <v>53</v>
      </c>
      <c r="E6">
        <v>1</v>
      </c>
      <c r="F6" s="2" t="str">
        <f>VLOOKUP(C6,product_master!$A$2:$C$5,2,FALSE)</f>
        <v>PC</v>
      </c>
      <c r="G6">
        <f>VLOOKUP(C6,product_master!$A$2:$C$5,3,FALSE)</f>
        <v>80000</v>
      </c>
      <c r="H6" s="3">
        <f t="shared" si="0"/>
        <v>80000</v>
      </c>
      <c r="I6" s="4">
        <f>VLOOKUP(D6,region_master!$A$2:$B$4,2,FALSE)</f>
        <v>0.08</v>
      </c>
      <c r="J6" s="5">
        <f t="shared" si="1"/>
        <v>73600</v>
      </c>
      <c r="K6" s="5">
        <f>J6*(1+controls!$B$2)</f>
        <v>80960</v>
      </c>
    </row>
    <row r="7" spans="1:13" x14ac:dyDescent="0.2">
      <c r="A7" t="s">
        <v>64</v>
      </c>
      <c r="B7" t="s">
        <v>63</v>
      </c>
      <c r="C7" t="s">
        <v>52</v>
      </c>
      <c r="D7" t="s">
        <v>49</v>
      </c>
      <c r="E7">
        <v>4</v>
      </c>
      <c r="F7" s="2" t="str">
        <f>VLOOKUP(C7,product_master!$A$2:$C$5,2,FALSE)</f>
        <v>周辺機器</v>
      </c>
      <c r="G7">
        <f>VLOOKUP(C7,product_master!$A$2:$C$5,3,FALSE)</f>
        <v>2000</v>
      </c>
      <c r="H7" s="3">
        <f t="shared" si="0"/>
        <v>8000</v>
      </c>
      <c r="I7" s="4">
        <f>VLOOKUP(D7,region_master!$A$2:$B$4,2,FALSE)</f>
        <v>0.05</v>
      </c>
      <c r="J7" s="5">
        <f t="shared" si="1"/>
        <v>7600</v>
      </c>
      <c r="K7" s="5">
        <f>J7*(1+controls!$B$2)</f>
        <v>8360</v>
      </c>
    </row>
    <row r="8" spans="1:13" x14ac:dyDescent="0.2">
      <c r="A8" t="s">
        <v>65</v>
      </c>
      <c r="B8" t="s">
        <v>66</v>
      </c>
      <c r="C8" t="s">
        <v>60</v>
      </c>
      <c r="D8" t="s">
        <v>49</v>
      </c>
      <c r="E8">
        <v>2</v>
      </c>
      <c r="F8" s="2" t="str">
        <f>VLOOKUP(C8,product_master!$A$2:$C$5,2,FALSE)</f>
        <v>ディスプレイ</v>
      </c>
      <c r="G8">
        <f>VLOOKUP(C8,product_master!$A$2:$C$5,3,FALSE)</f>
        <v>30000</v>
      </c>
      <c r="H8" s="3">
        <f t="shared" si="0"/>
        <v>60000</v>
      </c>
      <c r="I8" s="4">
        <f>VLOOKUP(D8,region_master!$A$2:$B$4,2,FALSE)</f>
        <v>0.05</v>
      </c>
      <c r="J8" s="5">
        <f t="shared" si="1"/>
        <v>57000</v>
      </c>
      <c r="K8" s="5">
        <f>J8*(1+controls!$B$2)</f>
        <v>62700.000000000007</v>
      </c>
    </row>
    <row r="9" spans="1:13" x14ac:dyDescent="0.2">
      <c r="A9" t="s">
        <v>67</v>
      </c>
      <c r="B9" t="s">
        <v>66</v>
      </c>
      <c r="C9" t="s">
        <v>57</v>
      </c>
      <c r="D9" t="s">
        <v>53</v>
      </c>
      <c r="E9">
        <v>2</v>
      </c>
      <c r="F9" s="2" t="str">
        <f>VLOOKUP(C9,product_master!$A$2:$C$5,2,FALSE)</f>
        <v>周辺機器</v>
      </c>
      <c r="G9">
        <f>VLOOKUP(C9,product_master!$A$2:$C$5,3,FALSE)</f>
        <v>5000</v>
      </c>
      <c r="H9" s="3">
        <f t="shared" si="0"/>
        <v>10000</v>
      </c>
      <c r="I9" s="4">
        <f>VLOOKUP(D9,region_master!$A$2:$B$4,2,FALSE)</f>
        <v>0.08</v>
      </c>
      <c r="J9" s="5">
        <f t="shared" si="1"/>
        <v>9200</v>
      </c>
      <c r="K9" s="5">
        <f>J9*(1+controls!$B$2)</f>
        <v>10120</v>
      </c>
    </row>
    <row r="10" spans="1:13" x14ac:dyDescent="0.2">
      <c r="A10" t="s">
        <v>68</v>
      </c>
      <c r="B10" t="s">
        <v>69</v>
      </c>
      <c r="C10" t="s">
        <v>48</v>
      </c>
      <c r="D10" t="s">
        <v>61</v>
      </c>
      <c r="E10">
        <v>1</v>
      </c>
      <c r="F10" s="2" t="str">
        <f>VLOOKUP(C10,product_master!$A$2:$C$5,2,FALSE)</f>
        <v>PC</v>
      </c>
      <c r="G10">
        <f>VLOOKUP(C10,product_master!$A$2:$C$5,3,FALSE)</f>
        <v>80000</v>
      </c>
      <c r="H10" s="3">
        <f t="shared" si="0"/>
        <v>80000</v>
      </c>
      <c r="I10" s="4">
        <f>VLOOKUP(D10,region_master!$A$2:$B$4,2,FALSE)</f>
        <v>0.03</v>
      </c>
      <c r="J10" s="5">
        <f t="shared" si="1"/>
        <v>77600</v>
      </c>
      <c r="K10" s="5">
        <f>J10*(1+controls!$B$2)</f>
        <v>85360</v>
      </c>
    </row>
    <row r="11" spans="1:13" x14ac:dyDescent="0.2">
      <c r="A11" t="s">
        <v>70</v>
      </c>
      <c r="B11" t="s">
        <v>69</v>
      </c>
      <c r="C11" t="s">
        <v>52</v>
      </c>
      <c r="D11" t="s">
        <v>61</v>
      </c>
      <c r="E11">
        <v>3</v>
      </c>
      <c r="F11" s="2" t="str">
        <f>VLOOKUP(C11,product_master!$A$2:$C$5,2,FALSE)</f>
        <v>周辺機器</v>
      </c>
      <c r="G11">
        <f>VLOOKUP(C11,product_master!$A$2:$C$5,3,FALSE)</f>
        <v>2000</v>
      </c>
      <c r="H11" s="3">
        <f t="shared" si="0"/>
        <v>6000</v>
      </c>
      <c r="I11" s="4">
        <f>VLOOKUP(D11,region_master!$A$2:$B$4,2,FALSE)</f>
        <v>0.03</v>
      </c>
      <c r="J11" s="5">
        <f t="shared" si="1"/>
        <v>5820</v>
      </c>
      <c r="K11" s="5">
        <f>J11*(1+controls!$B$2)</f>
        <v>6402.0000000000009</v>
      </c>
    </row>
    <row r="14" spans="1:13" x14ac:dyDescent="0.2">
      <c r="A14" s="6" t="s">
        <v>71</v>
      </c>
    </row>
  </sheetData>
  <autoFilter ref="A1:K11" xr:uid="{00000000-0009-0000-0000-000000000000}"/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 activeCell="D30" sqref="D30"/>
    </sheetView>
  </sheetViews>
  <sheetFormatPr defaultRowHeight="13.2" x14ac:dyDescent="0.2"/>
  <cols>
    <col min="1" max="2" width="14" customWidth="1"/>
    <col min="3" max="3" width="10" customWidth="1"/>
  </cols>
  <sheetData>
    <row r="1" spans="1:3" x14ac:dyDescent="0.2">
      <c r="A1" s="7" t="s">
        <v>37</v>
      </c>
      <c r="B1" s="7" t="s">
        <v>40</v>
      </c>
      <c r="C1" s="7" t="s">
        <v>41</v>
      </c>
    </row>
    <row r="2" spans="1:3" x14ac:dyDescent="0.2">
      <c r="A2" t="s">
        <v>48</v>
      </c>
      <c r="B2" t="s">
        <v>72</v>
      </c>
      <c r="C2">
        <v>80000</v>
      </c>
    </row>
    <row r="3" spans="1:3" x14ac:dyDescent="0.2">
      <c r="A3" t="s">
        <v>52</v>
      </c>
      <c r="B3" t="s">
        <v>73</v>
      </c>
      <c r="C3">
        <v>2000</v>
      </c>
    </row>
    <row r="4" spans="1:3" x14ac:dyDescent="0.2">
      <c r="A4" t="s">
        <v>57</v>
      </c>
      <c r="B4" t="s">
        <v>73</v>
      </c>
      <c r="C4">
        <v>5000</v>
      </c>
    </row>
    <row r="5" spans="1:3" x14ac:dyDescent="0.2">
      <c r="A5" t="s">
        <v>60</v>
      </c>
      <c r="B5" t="s">
        <v>74</v>
      </c>
      <c r="C5">
        <v>30000</v>
      </c>
    </row>
  </sheetData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opLeftCell="I1" workbookViewId="0">
      <pane ySplit="1" topLeftCell="A2" activePane="bottomLeft" state="frozen"/>
      <selection pane="bottomLeft"/>
    </sheetView>
  </sheetViews>
  <sheetFormatPr defaultRowHeight="13.2" x14ac:dyDescent="0.2"/>
  <cols>
    <col min="1" max="1" width="12" customWidth="1"/>
    <col min="2" max="2" width="10" customWidth="1"/>
  </cols>
  <sheetData>
    <row r="1" spans="1:2" x14ac:dyDescent="0.2">
      <c r="A1" s="7" t="s">
        <v>38</v>
      </c>
      <c r="B1" s="7" t="s">
        <v>75</v>
      </c>
    </row>
    <row r="2" spans="1:2" x14ac:dyDescent="0.2">
      <c r="A2" t="s">
        <v>49</v>
      </c>
      <c r="B2" s="8">
        <v>0.05</v>
      </c>
    </row>
    <row r="3" spans="1:2" x14ac:dyDescent="0.2">
      <c r="A3" t="s">
        <v>53</v>
      </c>
      <c r="B3" s="8">
        <v>0.08</v>
      </c>
    </row>
    <row r="4" spans="1:2" x14ac:dyDescent="0.2">
      <c r="A4" t="s">
        <v>61</v>
      </c>
      <c r="B4" s="8">
        <v>0.03</v>
      </c>
    </row>
  </sheetData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3.2" x14ac:dyDescent="0.2"/>
  <cols>
    <col min="1" max="1" width="28" customWidth="1"/>
    <col min="2" max="2" width="12" customWidth="1"/>
  </cols>
  <sheetData>
    <row r="1" spans="1:2" x14ac:dyDescent="0.2">
      <c r="A1" s="9" t="s">
        <v>76</v>
      </c>
    </row>
    <row r="2" spans="1:2" x14ac:dyDescent="0.2">
      <c r="A2" t="s">
        <v>77</v>
      </c>
      <c r="B2" s="10">
        <v>0.1</v>
      </c>
    </row>
    <row r="4" spans="1:2" x14ac:dyDescent="0.2">
      <c r="A4" s="11" t="s">
        <v>78</v>
      </c>
    </row>
  </sheetData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tabSelected="1" workbookViewId="0">
      <selection activeCell="D19" sqref="D19"/>
    </sheetView>
  </sheetViews>
  <sheetFormatPr defaultRowHeight="13.2" x14ac:dyDescent="0.2"/>
  <cols>
    <col min="1" max="1" width="28" customWidth="1"/>
    <col min="2" max="2" width="14" customWidth="1"/>
  </cols>
  <sheetData>
    <row r="1" spans="1:2" x14ac:dyDescent="0.2">
      <c r="A1" s="9" t="s">
        <v>79</v>
      </c>
    </row>
    <row r="2" spans="1:2" x14ac:dyDescent="0.2">
      <c r="A2" t="s">
        <v>80</v>
      </c>
    </row>
    <row r="3" spans="1:2" x14ac:dyDescent="0.2">
      <c r="A3" t="s">
        <v>81</v>
      </c>
    </row>
    <row r="4" spans="1:2" x14ac:dyDescent="0.2">
      <c r="A4" t="s">
        <v>82</v>
      </c>
    </row>
    <row r="5" spans="1:2" x14ac:dyDescent="0.2">
      <c r="A5" t="s">
        <v>83</v>
      </c>
    </row>
    <row r="6" spans="1:2" x14ac:dyDescent="0.2">
      <c r="A6" t="s">
        <v>84</v>
      </c>
    </row>
    <row r="8" spans="1:2" x14ac:dyDescent="0.2">
      <c r="A8" s="6" t="s">
        <v>85</v>
      </c>
    </row>
    <row r="9" spans="1:2" x14ac:dyDescent="0.2">
      <c r="A9" t="s">
        <v>86</v>
      </c>
      <c r="B9" s="5">
        <v>152000</v>
      </c>
    </row>
    <row r="10" spans="1:2" x14ac:dyDescent="0.2">
      <c r="A10" t="s">
        <v>87</v>
      </c>
      <c r="B10" s="5">
        <v>18400</v>
      </c>
    </row>
    <row r="11" spans="1:2" x14ac:dyDescent="0.2">
      <c r="A11" t="s">
        <v>88</v>
      </c>
      <c r="B11" s="5">
        <v>77600</v>
      </c>
    </row>
    <row r="12" spans="1:2" x14ac:dyDescent="0.2">
      <c r="A12" t="s">
        <v>89</v>
      </c>
      <c r="B12" s="5">
        <v>435370</v>
      </c>
    </row>
  </sheetData>
  <phoneticPr fontId="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topLeftCell="B1" workbookViewId="0">
      <pane ySplit="1" topLeftCell="A2" activePane="bottomLeft" state="frozen"/>
      <selection pane="bottomLeft" activeCell="J15" sqref="J15"/>
    </sheetView>
  </sheetViews>
  <sheetFormatPr defaultRowHeight="13.2" x14ac:dyDescent="0.2"/>
  <cols>
    <col min="1" max="1" width="5.5546875" bestFit="1" customWidth="1"/>
    <col min="2" max="2" width="54.109375" bestFit="1" customWidth="1"/>
    <col min="3" max="3" width="18.33203125" bestFit="1" customWidth="1"/>
    <col min="4" max="4" width="14.109375" bestFit="1" customWidth="1"/>
    <col min="5" max="6" width="9" bestFit="1" customWidth="1"/>
  </cols>
  <sheetData>
    <row r="1" spans="1: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">
      <c r="A2" t="s">
        <v>6</v>
      </c>
      <c r="B2" t="s">
        <v>7</v>
      </c>
      <c r="C2" t="s">
        <v>8</v>
      </c>
      <c r="D2">
        <f>COUNTA(orders_data!F2:F11)</f>
        <v>10</v>
      </c>
      <c r="E2">
        <f>COUNTA(orders_data!C2:C11)</f>
        <v>10</v>
      </c>
      <c r="F2" t="str">
        <f>IF(D2="","未入力",IF(D2=E2,"OK","NG"))</f>
        <v>OK</v>
      </c>
    </row>
    <row r="3" spans="1:6" x14ac:dyDescent="0.2">
      <c r="A3" t="s">
        <v>9</v>
      </c>
      <c r="B3" t="s">
        <v>10</v>
      </c>
      <c r="C3" t="s">
        <v>11</v>
      </c>
      <c r="D3">
        <f>SUM(orders_data!G2:G11)</f>
        <v>316000</v>
      </c>
      <c r="E3">
        <f>SUMPRODUCT(COUNTIF(orders_data!C2:C11,product_master!A2:A5),product_master!C2:C5)</f>
        <v>316000</v>
      </c>
      <c r="F3" t="str">
        <f t="shared" ref="F3:F8" si="0">IF(D3="","未入力",IF(ABS(D3-E3)&lt;0.0001,"OK","NG"))</f>
        <v>OK</v>
      </c>
    </row>
    <row r="4" spans="1:6" x14ac:dyDescent="0.2">
      <c r="A4" t="s">
        <v>12</v>
      </c>
      <c r="B4" t="s">
        <v>13</v>
      </c>
      <c r="C4" t="s">
        <v>14</v>
      </c>
      <c r="D4">
        <f>SUM(orders_data!H2:H11)</f>
        <v>459000</v>
      </c>
      <c r="E4">
        <f>SUMPRODUCT(orders_data!E2:E11,orders_data!G2:G11)</f>
        <v>459000</v>
      </c>
      <c r="F4" t="str">
        <f t="shared" si="0"/>
        <v>OK</v>
      </c>
    </row>
    <row r="5" spans="1:6" x14ac:dyDescent="0.2">
      <c r="A5" t="s">
        <v>15</v>
      </c>
      <c r="B5" t="s">
        <v>16</v>
      </c>
      <c r="C5" t="s">
        <v>17</v>
      </c>
      <c r="D5">
        <f>SUM(orders_data!I2:I11)</f>
        <v>0.53</v>
      </c>
      <c r="E5">
        <f>SUMPRODUCT(COUNTIF(orders_data!D2:D11,region_master!A2:A4),region_master!B2:B4)</f>
        <v>0.53</v>
      </c>
      <c r="F5" t="str">
        <f t="shared" si="0"/>
        <v>OK</v>
      </c>
    </row>
    <row r="6" spans="1:6" x14ac:dyDescent="0.2">
      <c r="A6" t="s">
        <v>18</v>
      </c>
      <c r="B6" t="s">
        <v>19</v>
      </c>
      <c r="C6" t="s">
        <v>20</v>
      </c>
      <c r="D6">
        <f>SUM(orders_data!J2:J11)</f>
        <v>435370</v>
      </c>
      <c r="E6">
        <f>SUMPRODUCT(orders_data!H2:H11,(1-orders_data!I2:I11))</f>
        <v>435370</v>
      </c>
      <c r="F6" t="str">
        <f t="shared" si="0"/>
        <v>OK</v>
      </c>
    </row>
    <row r="7" spans="1:6" x14ac:dyDescent="0.2">
      <c r="A7" t="s">
        <v>21</v>
      </c>
      <c r="B7" t="s">
        <v>22</v>
      </c>
      <c r="C7" t="s">
        <v>23</v>
      </c>
      <c r="D7">
        <f>SUM(orders_data!K2:K11)</f>
        <v>478907</v>
      </c>
      <c r="E7">
        <f>SUMPRODUCT(orders_data!J2:J11)*(1+controls!$B$2)</f>
        <v>478907.00000000006</v>
      </c>
      <c r="F7" t="str">
        <f t="shared" si="0"/>
        <v>OK</v>
      </c>
    </row>
    <row r="8" spans="1:6" x14ac:dyDescent="0.2">
      <c r="A8" t="s">
        <v>24</v>
      </c>
      <c r="B8" t="s">
        <v>25</v>
      </c>
      <c r="C8" t="s">
        <v>26</v>
      </c>
      <c r="D8">
        <f>orders_data!M2</f>
        <v>152000</v>
      </c>
      <c r="E8">
        <f>SUMIFS(orders_data!J2:J11,orders_data!D2:D11,"東日本",orders_data!F2:F11,"PC")</f>
        <v>152000</v>
      </c>
      <c r="F8" t="str">
        <f t="shared" si="0"/>
        <v>OK</v>
      </c>
    </row>
    <row r="9" spans="1:6" x14ac:dyDescent="0.2">
      <c r="A9" t="s">
        <v>27</v>
      </c>
      <c r="B9" t="s">
        <v>28</v>
      </c>
      <c r="C9" t="s">
        <v>29</v>
      </c>
      <c r="D9">
        <f>orders_data!M3</f>
        <v>2</v>
      </c>
      <c r="E9">
        <f>COUNTIFS(orders_data!D2:D11,"西日本",orders_data!F2:F11,"周辺機器")</f>
        <v>2</v>
      </c>
      <c r="F9" t="str">
        <f>IF(D9="","未入力",IF(D9=E9,"OK","NG"))</f>
        <v>OK</v>
      </c>
    </row>
    <row r="10" spans="1:6" x14ac:dyDescent="0.2">
      <c r="A10" t="s">
        <v>30</v>
      </c>
      <c r="B10" t="s">
        <v>31</v>
      </c>
      <c r="C10" t="s">
        <v>32</v>
      </c>
      <c r="D10">
        <f>orders_data!M4</f>
        <v>111173.33333333333</v>
      </c>
      <c r="E10">
        <f>AVERAGEIF(orders_data!F2:F11,"PC",orders_data!K2:K11)</f>
        <v>111173.33333333333</v>
      </c>
      <c r="F10" t="str">
        <f>IF(D10="","未入力",IF(ABS(D10-E10)&lt;0.0001,"OK","NG"))</f>
        <v>OK</v>
      </c>
    </row>
    <row r="11" spans="1:6" x14ac:dyDescent="0.2">
      <c r="A11" t="s">
        <v>33</v>
      </c>
      <c r="B11" t="s">
        <v>34</v>
      </c>
      <c r="C11" t="s">
        <v>35</v>
      </c>
      <c r="D11">
        <f>SUM(pivot_task!B9:B12)</f>
        <v>683370</v>
      </c>
      <c r="E11">
        <f>SUM(SUMIFS(orders_data!J2:J11,orders_data!D2:D11,"東日本",orders_data!F2:F11,"PC"),SUMIFS(orders_data!J2:J11,orders_data!D2:D11,"西日本",orders_data!F2:F11,"周辺機器"),SUMIFS(orders_data!J2:J11,orders_data!D2:D11,"中部",orders_data!F2:F11,"PC"),SUM(orders_data!J2:J11))</f>
        <v>683370</v>
      </c>
      <c r="F11" t="str">
        <f>IF(D11="","未入力",IF(ABS(D11-E11)&lt;0.0001,"OK","NG"))</f>
        <v>OK</v>
      </c>
    </row>
  </sheetData>
  <phoneticPr fontId="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3"/>
  <sheetViews>
    <sheetView workbookViewId="0"/>
  </sheetViews>
  <sheetFormatPr defaultRowHeight="13.2" x14ac:dyDescent="0.2"/>
  <cols>
    <col min="1" max="1" width="70" customWidth="1"/>
  </cols>
  <sheetData>
    <row r="1" spans="1:1" x14ac:dyDescent="0.2">
      <c r="A1" t="s">
        <v>90</v>
      </c>
    </row>
    <row r="3" spans="1:1" x14ac:dyDescent="0.2">
      <c r="A3" t="s">
        <v>91</v>
      </c>
    </row>
    <row r="4" spans="1:1" x14ac:dyDescent="0.2">
      <c r="A4" t="s">
        <v>92</v>
      </c>
    </row>
    <row r="5" spans="1:1" x14ac:dyDescent="0.2">
      <c r="A5" t="s">
        <v>93</v>
      </c>
    </row>
    <row r="6" spans="1:1" x14ac:dyDescent="0.2">
      <c r="A6" t="s">
        <v>94</v>
      </c>
    </row>
    <row r="7" spans="1:1" x14ac:dyDescent="0.2">
      <c r="A7" t="s">
        <v>95</v>
      </c>
    </row>
    <row r="9" spans="1:1" x14ac:dyDescent="0.2">
      <c r="A9" t="s">
        <v>96</v>
      </c>
    </row>
    <row r="10" spans="1:1" x14ac:dyDescent="0.2">
      <c r="A10" t="s">
        <v>97</v>
      </c>
    </row>
    <row r="11" spans="1:1" x14ac:dyDescent="0.2">
      <c r="A11" t="s">
        <v>98</v>
      </c>
    </row>
    <row r="12" spans="1:1" x14ac:dyDescent="0.2">
      <c r="A12" t="s">
        <v>99</v>
      </c>
    </row>
    <row r="13" spans="1:1" x14ac:dyDescent="0.2">
      <c r="A13" t="s">
        <v>100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Sheet3</vt:lpstr>
      <vt:lpstr>orders_data</vt:lpstr>
      <vt:lpstr>product_master</vt:lpstr>
      <vt:lpstr>region_master</vt:lpstr>
      <vt:lpstr>controls</vt:lpstr>
      <vt:lpstr>pivot_task</vt:lpstr>
      <vt:lpstr>practice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崚 大島</cp:lastModifiedBy>
  <dcterms:created xsi:type="dcterms:W3CDTF">2026-04-10T03:53:55Z</dcterms:created>
  <dcterms:modified xsi:type="dcterms:W3CDTF">2026-04-15T00:29:44Z</dcterms:modified>
</cp:coreProperties>
</file>