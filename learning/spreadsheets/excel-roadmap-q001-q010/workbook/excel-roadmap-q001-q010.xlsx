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010b21cb68de5/Desktop/apr2026_roadmap_tasks/excel/excel-roadmap-q001-q010/workbook/"/>
    </mc:Choice>
  </mc:AlternateContent>
  <xr:revisionPtr revIDLastSave="65" documentId="11_21E0D8D72C197CA4A0F9FE790B9DC4EDDC7AF1A7" xr6:coauthVersionLast="47" xr6:coauthVersionMax="47" xr10:uidLastSave="{E0C3D398-5163-4ABE-9A26-417D732542DA}"/>
  <bookViews>
    <workbookView xWindow="11424" yWindow="0" windowWidth="11712" windowHeight="12336" xr2:uid="{00000000-000D-0000-FFFF-FFFF00000000}"/>
  </bookViews>
  <sheets>
    <sheet name="sales_data" sheetId="1" r:id="rId1"/>
    <sheet name="practice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D11" i="2"/>
  <c r="G18" i="1"/>
  <c r="D10" i="2" s="1"/>
  <c r="G17" i="1"/>
  <c r="D9" i="2" s="1"/>
  <c r="H2" i="1"/>
  <c r="H3" i="1"/>
  <c r="H4" i="1"/>
  <c r="H5" i="1"/>
  <c r="H6" i="1"/>
  <c r="H7" i="1"/>
  <c r="H8" i="1"/>
  <c r="H9" i="1"/>
  <c r="E9" i="2"/>
  <c r="G16" i="1"/>
  <c r="D8" i="2" s="1"/>
  <c r="G15" i="1"/>
  <c r="G14" i="1"/>
  <c r="D6" i="2" s="1"/>
  <c r="G13" i="1"/>
  <c r="D5" i="2" s="1"/>
  <c r="F5" i="2" s="1"/>
  <c r="G12" i="1"/>
  <c r="D4" i="2" s="1"/>
  <c r="G11" i="1"/>
  <c r="G2" i="1"/>
  <c r="G3" i="1"/>
  <c r="G4" i="1"/>
  <c r="G5" i="1"/>
  <c r="G6" i="1"/>
  <c r="G7" i="1"/>
  <c r="G8" i="1"/>
  <c r="G9" i="1"/>
  <c r="D3" i="2"/>
  <c r="E10" i="2"/>
  <c r="E8" i="2"/>
  <c r="D7" i="2"/>
  <c r="E6" i="2"/>
  <c r="E5" i="2"/>
  <c r="E4" i="2"/>
  <c r="E3" i="2"/>
  <c r="E2" i="2"/>
  <c r="E11" i="2" l="1"/>
  <c r="F11" i="2" s="1"/>
  <c r="E7" i="2"/>
  <c r="F7" i="2" s="1"/>
  <c r="D2" i="2"/>
  <c r="F2" i="2" s="1"/>
  <c r="F10" i="2"/>
  <c r="F4" i="2"/>
  <c r="F3" i="2"/>
  <c r="F6" i="2"/>
  <c r="F9" i="2"/>
  <c r="F8" i="2"/>
</calcChain>
</file>

<file path=xl/sharedStrings.xml><?xml version="1.0" encoding="utf-8"?>
<sst xmlns="http://schemas.openxmlformats.org/spreadsheetml/2006/main" count="98" uniqueCount="78">
  <si>
    <t>日付</t>
  </si>
  <si>
    <t>商品名</t>
  </si>
  <si>
    <t>カテゴリ</t>
  </si>
  <si>
    <t>担当者</t>
  </si>
  <si>
    <t>数量</t>
  </si>
  <si>
    <t>単価</t>
  </si>
  <si>
    <t>売上</t>
  </si>
  <si>
    <t>判定(高額/通常)</t>
  </si>
  <si>
    <t>2026/4/1</t>
  </si>
  <si>
    <t>ノートPC</t>
  </si>
  <si>
    <t>PC</t>
  </si>
  <si>
    <t>田中</t>
  </si>
  <si>
    <t>マウス</t>
  </si>
  <si>
    <t>周辺機器</t>
  </si>
  <si>
    <t>佐藤</t>
  </si>
  <si>
    <t>2026/4/2</t>
  </si>
  <si>
    <t>キーボード</t>
  </si>
  <si>
    <t>モニター</t>
  </si>
  <si>
    <t>ディスプレイ</t>
  </si>
  <si>
    <t>鈴木</t>
  </si>
  <si>
    <t>2026/4/3</t>
  </si>
  <si>
    <t>2026/4/4</t>
  </si>
  <si>
    <t>▼ 学習用アウトプット欄（ここに数式を入れてください）</t>
  </si>
  <si>
    <t>q002 合計売上 (G11)</t>
  </si>
  <si>
    <t>q003 平均数量 (G12)</t>
  </si>
  <si>
    <t>q004 件数 (G13)</t>
  </si>
  <si>
    <t>q005 周辺機器件数 (G14)</t>
  </si>
  <si>
    <t>q006 田中売上合計 (G15)</t>
  </si>
  <si>
    <t>q007 ノートPC数量合計 (G16)</t>
  </si>
  <si>
    <t>q008 高額件数 (G17)</t>
  </si>
  <si>
    <t>q009 周辺機器&amp;佐藤 件数 (G18)</t>
  </si>
  <si>
    <t>q010 周辺機器売上合計 (G19)</t>
  </si>
  <si>
    <t>ID</t>
  </si>
  <si>
    <t>やること</t>
  </si>
  <si>
    <t>入力場所</t>
  </si>
  <si>
    <t>あなたの結果</t>
  </si>
  <si>
    <t>期待値</t>
  </si>
  <si>
    <t>判定</t>
  </si>
  <si>
    <t>q001</t>
  </si>
  <si>
    <t>sales_data!G2:G9</t>
  </si>
  <si>
    <t>q002</t>
  </si>
  <si>
    <t>合計売上を求める</t>
  </si>
  <si>
    <t>sales_data!G11</t>
  </si>
  <si>
    <t>q003</t>
  </si>
  <si>
    <t>平均数量を求める</t>
  </si>
  <si>
    <t>sales_data!G12</t>
  </si>
  <si>
    <t>q004</t>
  </si>
  <si>
    <t>データ件数を数える（商品名列を使う）</t>
  </si>
  <si>
    <t>sales_data!G13</t>
  </si>
  <si>
    <t>q005</t>
  </si>
  <si>
    <t>カテゴリが周辺機器の件数</t>
  </si>
  <si>
    <t>sales_data!G14</t>
  </si>
  <si>
    <t>q006</t>
  </si>
  <si>
    <t>担当者が田中の売上合計</t>
  </si>
  <si>
    <t>sales_data!G15</t>
  </si>
  <si>
    <t>q007</t>
  </si>
  <si>
    <t>商品がノートPCの数量合計</t>
  </si>
  <si>
    <t>sales_data!G16</t>
  </si>
  <si>
    <t>q008</t>
  </si>
  <si>
    <t>H列にIFで判定を入れ（売上&gt;=50000で高額）、高額件数を数える</t>
  </si>
  <si>
    <t>sales_data!H2:H9 と sales_data!G17</t>
  </si>
  <si>
    <t>q009</t>
  </si>
  <si>
    <t>カテゴリ周辺機器 かつ 担当者佐藤 の件数</t>
  </si>
  <si>
    <t>sales_data!G18</t>
  </si>
  <si>
    <t>q010</t>
  </si>
  <si>
    <t>カテゴリ周辺機器の売上合計</t>
  </si>
  <si>
    <t>sales_data!G19</t>
  </si>
  <si>
    <t>このExcelは、q001〜q010を『実際に手を動かして』学べるワークブックです。</t>
  </si>
  <si>
    <t/>
  </si>
  <si>
    <t>【使い方】</t>
  </si>
  <si>
    <t>1) sales_data シートで、各問題の指定セルに数式を入力します（青文字のセルが入力欄）。</t>
  </si>
  <si>
    <t>2) practice シートで、判定（OK/NG）を確認します。</t>
  </si>
  <si>
    <t>3) すべてOKになったら、GitHub用のREADME.mdに学んだことを記録します。</t>
  </si>
  <si>
    <t>【注意】</t>
  </si>
  <si>
    <t>- q001（売上列）を先に終えると、q006/q010が解きやすくなります。</t>
  </si>
  <si>
    <t>【目標】</t>
  </si>
  <si>
    <t>- 条件付き集計（COUNTIF/SUMIF/COUNTIFS）と、IFによる判定列作成ができる状態になる。</t>
  </si>
  <si>
    <r>
      <t>sales_data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ＭＳ ゴシック"/>
        <family val="3"/>
        <charset val="128"/>
      </rPr>
      <t>列（売上）を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ＭＳ ゴシック"/>
        <family val="3"/>
        <charset val="128"/>
      </rPr>
      <t>数量</t>
    </r>
    <r>
      <rPr>
        <sz val="11"/>
        <color theme="1"/>
        <rFont val="游ゴシック"/>
        <family val="2"/>
        <charset val="128"/>
      </rPr>
      <t>×</t>
    </r>
    <r>
      <rPr>
        <sz val="11"/>
        <color theme="1"/>
        <rFont val="ＭＳ ゴシック"/>
        <family val="3"/>
        <charset val="128"/>
      </rPr>
      <t>単価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ＭＳ ゴシック"/>
        <family val="3"/>
        <charset val="128"/>
      </rPr>
      <t>で計算し、</t>
    </r>
    <r>
      <rPr>
        <sz val="11"/>
        <color theme="1"/>
        <rFont val="Calibri"/>
        <family val="2"/>
        <scheme val="minor"/>
      </rPr>
      <t>G2</t>
    </r>
    <r>
      <rPr>
        <sz val="11"/>
        <color theme="1"/>
        <rFont val="ＭＳ ゴシック"/>
        <family val="3"/>
        <charset val="128"/>
      </rPr>
      <t>から</t>
    </r>
    <r>
      <rPr>
        <sz val="11"/>
        <color theme="1"/>
        <rFont val="Calibri"/>
        <family val="2"/>
        <scheme val="minor"/>
      </rPr>
      <t>G9</t>
    </r>
    <r>
      <rPr>
        <sz val="11"/>
        <color theme="1"/>
        <rFont val="ＭＳ ゴシック"/>
        <family val="3"/>
        <charset val="128"/>
      </rPr>
      <t>まで埋める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</si>
</sst>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name val="Calibri"/>
    </font>
    <font>
      <sz val="11"/>
      <color rgb="FF0000FF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4" fontId="0" fillId="0" borderId="1" xfId="1" applyNumberFormat="1" applyFont="1" applyBorder="1" applyAlignment="1">
      <alignment horizontal="left"/>
    </xf>
    <xf numFmtId="0" fontId="0" fillId="0" borderId="1" xfId="1" applyFont="1" applyBorder="1" applyAlignment="1">
      <alignment horizontal="left"/>
    </xf>
    <xf numFmtId="1" fontId="0" fillId="0" borderId="1" xfId="1" applyNumberFormat="1" applyFont="1" applyBorder="1" applyAlignment="1">
      <alignment horizontal="right"/>
    </xf>
    <xf numFmtId="3" fontId="0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left"/>
    </xf>
    <xf numFmtId="3" fontId="4" fillId="0" borderId="1" xfId="1" applyNumberFormat="1" applyFont="1" applyBorder="1" applyAlignment="1">
      <alignment horizontal="right"/>
    </xf>
    <xf numFmtId="0" fontId="1" fillId="2" borderId="1" xfId="1" applyFont="1" applyFill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vertical="top" wrapText="1"/>
    </xf>
    <xf numFmtId="4" fontId="0" fillId="0" borderId="1" xfId="1" applyNumberFormat="1" applyFont="1" applyBorder="1"/>
    <xf numFmtId="0" fontId="0" fillId="0" borderId="1" xfId="1" applyFont="1" applyBorder="1" applyAlignment="1">
      <alignment horizontal="center"/>
    </xf>
    <xf numFmtId="0" fontId="0" fillId="0" borderId="0" xfId="1" applyFont="1" applyAlignment="1">
      <alignment wrapText="1"/>
    </xf>
    <xf numFmtId="0" fontId="2" fillId="0" borderId="0" xfId="1" applyFont="1"/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2"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9">
  <autoFilter ref="A1:H9" xr:uid="{00000000-0009-0000-0100-000001000000}"/>
  <tableColumns count="8">
    <tableColumn id="1" xr3:uid="{00000000-0010-0000-0000-000001000000}" name="日付"/>
    <tableColumn id="2" xr3:uid="{00000000-0010-0000-0000-000002000000}" name="商品名"/>
    <tableColumn id="3" xr3:uid="{00000000-0010-0000-0000-000003000000}" name="カテゴリ"/>
    <tableColumn id="4" xr3:uid="{00000000-0010-0000-0000-000004000000}" name="担当者"/>
    <tableColumn id="5" xr3:uid="{00000000-0010-0000-0000-000005000000}" name="数量"/>
    <tableColumn id="6" xr3:uid="{00000000-0010-0000-0000-000006000000}" name="単価"/>
    <tableColumn id="7" xr3:uid="{00000000-0010-0000-0000-000007000000}" name="売上" dataDxfId="1">
      <calculatedColumnFormula>E2*F2</calculatedColumnFormula>
    </tableColumn>
    <tableColumn id="8" xr3:uid="{00000000-0010-0000-0000-000008000000}" name="判定(高額/通常)" dataDxfId="0">
      <calculatedColumnFormula>IF(G2&gt;=50000,"高額","通常")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1" workbookViewId="0">
      <selection activeCell="H23" sqref="H2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4.44140625" bestFit="1" customWidth="1"/>
    <col min="4" max="4" width="12.33203125" bestFit="1" customWidth="1"/>
    <col min="5" max="5" width="10.21875" bestFit="1" customWidth="1"/>
    <col min="6" max="6" width="31.77734375" bestFit="1" customWidth="1"/>
    <col min="7" max="7" width="10.21875" bestFit="1" customWidth="1"/>
    <col min="8" max="8" width="21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 t="s">
        <v>10</v>
      </c>
      <c r="D2" s="3" t="s">
        <v>11</v>
      </c>
      <c r="E2" s="4">
        <v>2</v>
      </c>
      <c r="F2" s="5">
        <v>80000</v>
      </c>
      <c r="G2" s="5">
        <f t="shared" ref="G2:G9" si="0">E2*F2</f>
        <v>160000</v>
      </c>
      <c r="H2" s="3" t="str">
        <f t="shared" ref="H2:H9" si="1">IF(G2&gt;=50000,"高額","通常")</f>
        <v>高額</v>
      </c>
    </row>
    <row r="3" spans="1:8" x14ac:dyDescent="0.3">
      <c r="A3" s="2" t="s">
        <v>8</v>
      </c>
      <c r="B3" s="3" t="s">
        <v>12</v>
      </c>
      <c r="C3" s="3" t="s">
        <v>13</v>
      </c>
      <c r="D3" s="3" t="s">
        <v>14</v>
      </c>
      <c r="E3" s="4">
        <v>5</v>
      </c>
      <c r="F3" s="5">
        <v>2000</v>
      </c>
      <c r="G3" s="5">
        <f t="shared" si="0"/>
        <v>10000</v>
      </c>
      <c r="H3" s="3" t="str">
        <f t="shared" si="1"/>
        <v>通常</v>
      </c>
    </row>
    <row r="4" spans="1:8" x14ac:dyDescent="0.3">
      <c r="A4" s="2" t="s">
        <v>15</v>
      </c>
      <c r="B4" s="3" t="s">
        <v>16</v>
      </c>
      <c r="C4" s="3" t="s">
        <v>13</v>
      </c>
      <c r="D4" s="3" t="s">
        <v>11</v>
      </c>
      <c r="E4" s="4">
        <v>3</v>
      </c>
      <c r="F4" s="5">
        <v>5000</v>
      </c>
      <c r="G4" s="5">
        <f t="shared" si="0"/>
        <v>15000</v>
      </c>
      <c r="H4" s="3" t="str">
        <f t="shared" si="1"/>
        <v>通常</v>
      </c>
    </row>
    <row r="5" spans="1:8" x14ac:dyDescent="0.3">
      <c r="A5" s="2" t="s">
        <v>15</v>
      </c>
      <c r="B5" s="3" t="s">
        <v>17</v>
      </c>
      <c r="C5" s="3" t="s">
        <v>18</v>
      </c>
      <c r="D5" s="3" t="s">
        <v>19</v>
      </c>
      <c r="E5" s="4">
        <v>1</v>
      </c>
      <c r="F5" s="5">
        <v>30000</v>
      </c>
      <c r="G5" s="5">
        <f t="shared" si="0"/>
        <v>30000</v>
      </c>
      <c r="H5" s="3" t="str">
        <f t="shared" si="1"/>
        <v>通常</v>
      </c>
    </row>
    <row r="6" spans="1:8" x14ac:dyDescent="0.3">
      <c r="A6" s="2" t="s">
        <v>20</v>
      </c>
      <c r="B6" s="3" t="s">
        <v>9</v>
      </c>
      <c r="C6" s="3" t="s">
        <v>10</v>
      </c>
      <c r="D6" s="3" t="s">
        <v>14</v>
      </c>
      <c r="E6" s="4">
        <v>1</v>
      </c>
      <c r="F6" s="5">
        <v>90000</v>
      </c>
      <c r="G6" s="5">
        <f t="shared" si="0"/>
        <v>90000</v>
      </c>
      <c r="H6" s="3" t="str">
        <f t="shared" si="1"/>
        <v>高額</v>
      </c>
    </row>
    <row r="7" spans="1:8" x14ac:dyDescent="0.3">
      <c r="A7" s="2" t="s">
        <v>20</v>
      </c>
      <c r="B7" s="3" t="s">
        <v>12</v>
      </c>
      <c r="C7" s="3" t="s">
        <v>13</v>
      </c>
      <c r="D7" s="3" t="s">
        <v>19</v>
      </c>
      <c r="E7" s="4">
        <v>4</v>
      </c>
      <c r="F7" s="5">
        <v>2500</v>
      </c>
      <c r="G7" s="5">
        <f t="shared" si="0"/>
        <v>10000</v>
      </c>
      <c r="H7" s="3" t="str">
        <f t="shared" si="1"/>
        <v>通常</v>
      </c>
    </row>
    <row r="8" spans="1:8" x14ac:dyDescent="0.3">
      <c r="A8" s="2" t="s">
        <v>21</v>
      </c>
      <c r="B8" s="3" t="s">
        <v>17</v>
      </c>
      <c r="C8" s="3" t="s">
        <v>18</v>
      </c>
      <c r="D8" s="3" t="s">
        <v>11</v>
      </c>
      <c r="E8" s="4">
        <v>2</v>
      </c>
      <c r="F8" s="5">
        <v>28000</v>
      </c>
      <c r="G8" s="5">
        <f t="shared" si="0"/>
        <v>56000</v>
      </c>
      <c r="H8" s="3" t="str">
        <f t="shared" si="1"/>
        <v>高額</v>
      </c>
    </row>
    <row r="9" spans="1:8" x14ac:dyDescent="0.3">
      <c r="A9" s="2" t="s">
        <v>21</v>
      </c>
      <c r="B9" s="3" t="s">
        <v>16</v>
      </c>
      <c r="C9" s="3" t="s">
        <v>13</v>
      </c>
      <c r="D9" s="3" t="s">
        <v>14</v>
      </c>
      <c r="E9" s="4">
        <v>2</v>
      </c>
      <c r="F9" s="5">
        <v>4500</v>
      </c>
      <c r="G9" s="5">
        <f t="shared" si="0"/>
        <v>9000</v>
      </c>
      <c r="H9" s="3" t="str">
        <f t="shared" si="1"/>
        <v>通常</v>
      </c>
    </row>
    <row r="10" spans="1:8" x14ac:dyDescent="0.3">
      <c r="A10" s="14" t="s">
        <v>22</v>
      </c>
      <c r="B10" s="15"/>
      <c r="C10" s="15"/>
      <c r="D10" s="15"/>
      <c r="E10" s="15"/>
      <c r="F10" s="15"/>
      <c r="G10" s="15"/>
      <c r="H10" s="15"/>
    </row>
    <row r="11" spans="1:8" x14ac:dyDescent="0.3">
      <c r="F11" s="6" t="s">
        <v>23</v>
      </c>
      <c r="G11" s="7">
        <f>SUM(G2:G9)</f>
        <v>380000</v>
      </c>
    </row>
    <row r="12" spans="1:8" x14ac:dyDescent="0.3">
      <c r="F12" s="6" t="s">
        <v>24</v>
      </c>
      <c r="G12" s="7">
        <f>AVERAGE(E2:E9)</f>
        <v>2.5</v>
      </c>
    </row>
    <row r="13" spans="1:8" x14ac:dyDescent="0.3">
      <c r="F13" s="6" t="s">
        <v>25</v>
      </c>
      <c r="G13" s="7">
        <f>COUNTA(B2:B9)</f>
        <v>8</v>
      </c>
    </row>
    <row r="14" spans="1:8" x14ac:dyDescent="0.3">
      <c r="F14" s="6" t="s">
        <v>26</v>
      </c>
      <c r="G14" s="7">
        <f>COUNTIF(C2:C9,"周辺機器")</f>
        <v>4</v>
      </c>
    </row>
    <row r="15" spans="1:8" x14ac:dyDescent="0.3">
      <c r="F15" s="6" t="s">
        <v>27</v>
      </c>
      <c r="G15" s="7">
        <f>SUMIF(D2:D9,"田中",G2:G9)</f>
        <v>231000</v>
      </c>
    </row>
    <row r="16" spans="1:8" x14ac:dyDescent="0.3">
      <c r="F16" s="6" t="s">
        <v>28</v>
      </c>
      <c r="G16" s="7">
        <f>SUMIF(B2:B9,"ノートPC",E2:E9)</f>
        <v>3</v>
      </c>
    </row>
    <row r="17" spans="6:7" x14ac:dyDescent="0.3">
      <c r="F17" s="6" t="s">
        <v>29</v>
      </c>
      <c r="G17" s="7">
        <f>COUNTIF(H2:H9,"高額")</f>
        <v>3</v>
      </c>
    </row>
    <row r="18" spans="6:7" x14ac:dyDescent="0.3">
      <c r="F18" s="6" t="s">
        <v>30</v>
      </c>
      <c r="G18" s="7">
        <f>COUNTIFS(C2:C9,"周辺機器",D2:D9,"佐藤")</f>
        <v>2</v>
      </c>
    </row>
    <row r="19" spans="6:7" x14ac:dyDescent="0.3">
      <c r="F19" s="6" t="s">
        <v>31</v>
      </c>
      <c r="G19" s="7">
        <f>SUMIF(C2:C9,"周辺機器",G2:G9)</f>
        <v>44000</v>
      </c>
    </row>
  </sheetData>
  <mergeCells count="1">
    <mergeCell ref="A10:H10"/>
  </mergeCells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opLeftCell="B1" zoomScaleNormal="100" workbookViewId="0">
      <selection activeCell="B3" sqref="B3"/>
    </sheetView>
  </sheetViews>
  <sheetFormatPr defaultRowHeight="14.4" x14ac:dyDescent="0.3"/>
  <cols>
    <col min="1" max="1" width="6" customWidth="1"/>
    <col min="2" max="2" width="50" customWidth="1"/>
    <col min="3" max="3" width="18" customWidth="1"/>
    <col min="4" max="5" width="14" customWidth="1"/>
    <col min="6" max="6" width="10" customWidth="1"/>
  </cols>
  <sheetData>
    <row r="1" spans="1:6" x14ac:dyDescent="0.3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</row>
    <row r="2" spans="1:6" ht="38.4" customHeight="1" x14ac:dyDescent="0.3">
      <c r="A2" s="9" t="s">
        <v>38</v>
      </c>
      <c r="B2" s="10" t="s">
        <v>77</v>
      </c>
      <c r="C2" s="9" t="s">
        <v>39</v>
      </c>
      <c r="D2" s="11">
        <f>SUM(sales_data!G2:G9)</f>
        <v>380000</v>
      </c>
      <c r="E2" s="11">
        <f>SUMPRODUCT(sales_data!E2:E9,sales_data!F2:F9)</f>
        <v>380000</v>
      </c>
      <c r="F2" s="12" t="str">
        <f t="shared" ref="F2:F11" si="0">IF(D2="","未入力",IF(ABS(D2-E2)&lt;0.0001,"OK","NG"))</f>
        <v>OK</v>
      </c>
    </row>
    <row r="3" spans="1:6" ht="38.4" customHeight="1" x14ac:dyDescent="0.3">
      <c r="A3" s="9" t="s">
        <v>40</v>
      </c>
      <c r="B3" s="10" t="s">
        <v>41</v>
      </c>
      <c r="C3" s="9" t="s">
        <v>42</v>
      </c>
      <c r="D3" s="11">
        <f>sales_data!G11</f>
        <v>380000</v>
      </c>
      <c r="E3" s="11">
        <f>SUMPRODUCT(sales_data!E2:E9,sales_data!F2:F9)</f>
        <v>380000</v>
      </c>
      <c r="F3" s="12" t="str">
        <f t="shared" si="0"/>
        <v>OK</v>
      </c>
    </row>
    <row r="4" spans="1:6" ht="38.4" customHeight="1" x14ac:dyDescent="0.3">
      <c r="A4" s="9" t="s">
        <v>43</v>
      </c>
      <c r="B4" s="10" t="s">
        <v>44</v>
      </c>
      <c r="C4" s="9" t="s">
        <v>45</v>
      </c>
      <c r="D4" s="11">
        <f>sales_data!G12</f>
        <v>2.5</v>
      </c>
      <c r="E4" s="11">
        <f>AVERAGE(sales_data!E2:E9)</f>
        <v>2.5</v>
      </c>
      <c r="F4" s="12" t="str">
        <f t="shared" si="0"/>
        <v>OK</v>
      </c>
    </row>
    <row r="5" spans="1:6" ht="38.4" customHeight="1" x14ac:dyDescent="0.3">
      <c r="A5" s="9" t="s">
        <v>46</v>
      </c>
      <c r="B5" s="10" t="s">
        <v>47</v>
      </c>
      <c r="C5" s="9" t="s">
        <v>48</v>
      </c>
      <c r="D5" s="11">
        <f>sales_data!G13</f>
        <v>8</v>
      </c>
      <c r="E5" s="11">
        <f>COUNTA(sales_data!B2:B9)</f>
        <v>8</v>
      </c>
      <c r="F5" s="12" t="str">
        <f t="shared" si="0"/>
        <v>OK</v>
      </c>
    </row>
    <row r="6" spans="1:6" ht="38.4" customHeight="1" x14ac:dyDescent="0.3">
      <c r="A6" s="9" t="s">
        <v>49</v>
      </c>
      <c r="B6" s="10" t="s">
        <v>50</v>
      </c>
      <c r="C6" s="9" t="s">
        <v>51</v>
      </c>
      <c r="D6" s="11">
        <f>sales_data!G14</f>
        <v>4</v>
      </c>
      <c r="E6" s="11">
        <f>COUNTIF(sales_data!C2:C9,"周辺機器")</f>
        <v>4</v>
      </c>
      <c r="F6" s="12" t="str">
        <f t="shared" si="0"/>
        <v>OK</v>
      </c>
    </row>
    <row r="7" spans="1:6" ht="38.4" customHeight="1" x14ac:dyDescent="0.3">
      <c r="A7" s="9" t="s">
        <v>52</v>
      </c>
      <c r="B7" s="10" t="s">
        <v>53</v>
      </c>
      <c r="C7" s="9" t="s">
        <v>54</v>
      </c>
      <c r="D7" s="11">
        <f>sales_data!G15</f>
        <v>231000</v>
      </c>
      <c r="E7" s="11">
        <f>SUMIF(sales_data!D2:D9,"田中",sales_data!G2:G9)</f>
        <v>231000</v>
      </c>
      <c r="F7" s="12" t="str">
        <f t="shared" si="0"/>
        <v>OK</v>
      </c>
    </row>
    <row r="8" spans="1:6" ht="38.4" customHeight="1" x14ac:dyDescent="0.3">
      <c r="A8" s="9" t="s">
        <v>55</v>
      </c>
      <c r="B8" s="10" t="s">
        <v>56</v>
      </c>
      <c r="C8" s="9" t="s">
        <v>57</v>
      </c>
      <c r="D8" s="11">
        <f>sales_data!G16</f>
        <v>3</v>
      </c>
      <c r="E8" s="11">
        <f>SUMIF(sales_data!B2:B9,"ノートPC",sales_data!E2:E9)</f>
        <v>3</v>
      </c>
      <c r="F8" s="12" t="str">
        <f t="shared" si="0"/>
        <v>OK</v>
      </c>
    </row>
    <row r="9" spans="1:6" ht="38.4" customHeight="1" x14ac:dyDescent="0.3">
      <c r="A9" s="9" t="s">
        <v>58</v>
      </c>
      <c r="B9" s="10" t="s">
        <v>59</v>
      </c>
      <c r="C9" s="9" t="s">
        <v>60</v>
      </c>
      <c r="D9" s="11">
        <f>sales_data!G17</f>
        <v>3</v>
      </c>
      <c r="E9" s="11">
        <f>COUNTIF(sales_data!H2:H9,"高額")</f>
        <v>3</v>
      </c>
      <c r="F9" s="12" t="str">
        <f t="shared" si="0"/>
        <v>OK</v>
      </c>
    </row>
    <row r="10" spans="1:6" ht="38.4" customHeight="1" x14ac:dyDescent="0.3">
      <c r="A10" s="9" t="s">
        <v>61</v>
      </c>
      <c r="B10" s="10" t="s">
        <v>62</v>
      </c>
      <c r="C10" s="9" t="s">
        <v>63</v>
      </c>
      <c r="D10" s="11">
        <f>sales_data!G18</f>
        <v>2</v>
      </c>
      <c r="E10" s="11">
        <f>COUNTIFS(sales_data!C2:C9,"周辺機器",sales_data!D2:D9,"佐藤")</f>
        <v>2</v>
      </c>
      <c r="F10" s="12" t="str">
        <f t="shared" si="0"/>
        <v>OK</v>
      </c>
    </row>
    <row r="11" spans="1:6" ht="38.4" customHeight="1" x14ac:dyDescent="0.3">
      <c r="A11" s="9" t="s">
        <v>64</v>
      </c>
      <c r="B11" s="10" t="s">
        <v>65</v>
      </c>
      <c r="C11" s="9" t="s">
        <v>66</v>
      </c>
      <c r="D11" s="11">
        <f>sales_data!G19</f>
        <v>44000</v>
      </c>
      <c r="E11" s="11">
        <f>SUMIF(sales_data!C2:C9,"周辺機器",sales_data!G2:G9)</f>
        <v>44000</v>
      </c>
      <c r="F11" s="12" t="str">
        <f t="shared" si="0"/>
        <v>OK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>
      <selection activeCell="A22" sqref="A22"/>
    </sheetView>
  </sheetViews>
  <sheetFormatPr defaultRowHeight="14.4" x14ac:dyDescent="0.3"/>
  <cols>
    <col min="1" max="1" width="110" customWidth="1"/>
  </cols>
  <sheetData>
    <row r="1" spans="1:1" x14ac:dyDescent="0.3">
      <c r="A1" s="13" t="s">
        <v>67</v>
      </c>
    </row>
    <row r="2" spans="1:1" x14ac:dyDescent="0.3">
      <c r="A2" s="13" t="s">
        <v>68</v>
      </c>
    </row>
    <row r="3" spans="1:1" x14ac:dyDescent="0.3">
      <c r="A3" s="13" t="s">
        <v>69</v>
      </c>
    </row>
    <row r="4" spans="1:1" x14ac:dyDescent="0.3">
      <c r="A4" s="13" t="s">
        <v>70</v>
      </c>
    </row>
    <row r="5" spans="1:1" x14ac:dyDescent="0.3">
      <c r="A5" s="13" t="s">
        <v>71</v>
      </c>
    </row>
    <row r="6" spans="1:1" x14ac:dyDescent="0.3">
      <c r="A6" s="13" t="s">
        <v>72</v>
      </c>
    </row>
    <row r="7" spans="1:1" x14ac:dyDescent="0.3">
      <c r="A7" s="13" t="s">
        <v>68</v>
      </c>
    </row>
    <row r="8" spans="1:1" x14ac:dyDescent="0.3">
      <c r="A8" s="13" t="s">
        <v>73</v>
      </c>
    </row>
    <row r="9" spans="1:1" x14ac:dyDescent="0.3">
      <c r="A9" s="13" t="s">
        <v>74</v>
      </c>
    </row>
    <row r="10" spans="1:1" x14ac:dyDescent="0.3">
      <c r="A10" s="13" t="s">
        <v>68</v>
      </c>
    </row>
    <row r="11" spans="1:1" x14ac:dyDescent="0.3">
      <c r="A11" s="13" t="s">
        <v>75</v>
      </c>
    </row>
    <row r="12" spans="1:1" x14ac:dyDescent="0.3">
      <c r="A12" s="13" t="s">
        <v>76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sales_data</vt:lpstr>
      <vt:lpstr>practice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崚 大島</cp:lastModifiedBy>
  <dcterms:modified xsi:type="dcterms:W3CDTF">2026-04-11T03:45:53Z</dcterms:modified>
</cp:coreProperties>
</file>